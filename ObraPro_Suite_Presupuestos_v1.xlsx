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alculador de Obra" sheetId="1" state="visible" r:id="rId1"/>
    <sheet name="2. Presupuesto para Cliente" sheetId="2" state="visible" r:id="rId2"/>
    <sheet name="3. Catálogo Precios 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0B1120"/>
    </font>
    <font>
      <b val="1"/>
      <color rgb="00FFFFFF"/>
    </font>
    <font>
      <b val="1"/>
      <sz val="10"/>
    </font>
    <font>
      <b val="1"/>
      <color rgb="00EA580C"/>
      <sz val="11"/>
    </font>
    <font>
      <name val="Calibri"/>
      <b val="1"/>
      <color rgb="00FFFFFF"/>
      <sz val="11"/>
    </font>
    <font>
      <b val="1"/>
      <sz val="12"/>
    </font>
    <font>
      <b val="1"/>
      <color rgb="00FFFFFF"/>
      <sz val="12"/>
    </font>
    <font>
      <b val="1"/>
    </font>
    <font>
      <b val="1"/>
      <color rgb="0016A34A"/>
    </font>
    <font>
      <b val="1"/>
      <color rgb="0016A34A"/>
      <sz val="12"/>
    </font>
    <font>
      <b val="1"/>
      <color rgb="00FFFFFF"/>
      <sz val="13"/>
    </font>
    <font>
      <b val="1"/>
      <color rgb="00FFFFFF"/>
      <sz val="14"/>
    </font>
    <font>
      <name val="Calibri"/>
      <b val="1"/>
      <color rgb="000B1120"/>
      <sz val="18"/>
    </font>
    <font>
      <name val="Calibri"/>
      <b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0B1120"/>
        <bgColor rgb="000B1120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8" fillId="3" borderId="0" pivotButton="0" quotePrefix="0" xfId="0"/>
    <xf numFmtId="165" fontId="8" fillId="3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0" fillId="0" borderId="0" pivotButton="0" quotePrefix="0" xfId="0"/>
    <xf numFmtId="165" fontId="11" fillId="0" borderId="0" pivotButton="0" quotePrefix="0" xfId="0"/>
    <xf numFmtId="0" fontId="12" fillId="2" borderId="0" pivotButton="0" quotePrefix="0" xfId="0"/>
    <xf numFmtId="165" fontId="13" fillId="2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8" fillId="2" borderId="0" pivotButton="0" quotePrefix="0" xfId="0"/>
    <xf numFmtId="165" fontId="12" fillId="2" borderId="0" pivotButton="0" quotePrefix="0" xfId="0"/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12" customWidth="1" min="3" max="3"/>
    <col width="23" customWidth="1" min="4" max="4"/>
    <col width="13" customWidth="1" min="5" max="5"/>
    <col width="43" customWidth="1" min="6" max="6"/>
    <col width="18" customWidth="1" min="7" max="7"/>
    <col width="20" customWidth="1" min="8" max="8"/>
  </cols>
  <sheetData>
    <row r="1" ht="35" customHeight="1">
      <c r="A1" s="1" t="inlineStr">
        <is>
          <t>SISTEMA OPERATIVO DE PRESUPUESTOS Y CONTROL DE MARGEN — OBRA PRO SUITE</t>
        </is>
      </c>
    </row>
    <row r="2"/>
    <row r="3">
      <c r="A3" s="2" t="inlineStr">
        <is>
          <t>Cliente:</t>
        </is>
      </c>
      <c r="B3" t="inlineStr">
        <is>
          <t>Reforma Vivienda D. Juan García</t>
        </is>
      </c>
      <c r="D3" s="2" t="inlineStr">
        <is>
          <t>Fecha:</t>
        </is>
      </c>
      <c r="E3">
        <f>TODAY()</f>
        <v/>
      </c>
    </row>
    <row r="4">
      <c r="A4" s="2" t="inlineStr">
        <is>
          <t>Dirección Obra:</t>
        </is>
      </c>
      <c r="B4" t="inlineStr">
        <is>
          <t>Calle Mayor 14, 3ºB</t>
        </is>
      </c>
      <c r="D4" s="2" t="inlineStr">
        <is>
          <t>Validez Presupuesto:</t>
        </is>
      </c>
      <c r="E4" t="inlineStr">
        <is>
          <t>30 días</t>
        </is>
      </c>
    </row>
    <row r="5"/>
    <row r="6" ht="24" customHeight="1">
      <c r="A6" s="3" t="inlineStr">
        <is>
          <t>CONFIGURACIÓN FINANCIERA DE LA OBRA</t>
        </is>
      </c>
    </row>
    <row r="7">
      <c r="A7" s="4" t="inlineStr">
        <is>
          <t>Margen Neto Deseado:</t>
        </is>
      </c>
      <c r="B7" s="5" t="n">
        <v>0.3</v>
      </c>
    </row>
    <row r="8">
      <c r="A8" s="4" t="inlineStr">
        <is>
          <t>Colchón de Imprevistos y Mermas:</t>
        </is>
      </c>
      <c r="B8" s="5" t="n">
        <v>0.1</v>
      </c>
    </row>
    <row r="9">
      <c r="A9" s="4" t="inlineStr">
        <is>
          <t>Gastos Generales / Furgoneta / Seguros:</t>
        </is>
      </c>
      <c r="B9" s="5" t="n">
        <v>0.08</v>
      </c>
    </row>
    <row r="10">
      <c r="A10" s="4" t="inlineStr">
        <is>
          <t>Tipo de IVA:</t>
        </is>
      </c>
      <c r="B10" s="5" t="n">
        <v>0.1</v>
      </c>
    </row>
    <row r="11"/>
    <row r="12" ht="28" customHeight="1">
      <c r="A12" s="6" t="inlineStr">
        <is>
          <t>Capítulo / Partida</t>
        </is>
      </c>
      <c r="B12" s="6" t="inlineStr">
        <is>
          <t>Medición</t>
        </is>
      </c>
      <c r="C12" s="6" t="inlineStr">
        <is>
          <t>Unidad</t>
        </is>
      </c>
      <c r="D12" s="6" t="inlineStr">
        <is>
          <t>Coste Material Unit.</t>
        </is>
      </c>
      <c r="E12" s="6" t="inlineStr">
        <is>
          <t>Horas M.O.</t>
        </is>
      </c>
      <c r="F12" s="6" t="inlineStr">
        <is>
          <t>Coste Hora M.O.</t>
        </is>
      </c>
      <c r="G12" s="6" t="inlineStr">
        <is>
          <t>Coste Directo Total</t>
        </is>
      </c>
      <c r="H12" s="6" t="inlineStr">
        <is>
          <t>PVP Venta al Cliente</t>
        </is>
      </c>
    </row>
    <row r="13">
      <c r="A13" s="7" t="inlineStr">
        <is>
          <t>Demolición de alicatado, sanitarios y retirada escombros a vertedero</t>
        </is>
      </c>
      <c r="B13" s="7" t="n">
        <v>25</v>
      </c>
      <c r="C13" s="7" t="inlineStr">
        <is>
          <t>m²</t>
        </is>
      </c>
      <c r="D13" s="8" t="n">
        <v>4.5</v>
      </c>
      <c r="E13" s="7" t="n">
        <v>16</v>
      </c>
      <c r="F13" s="8" t="n">
        <v>25</v>
      </c>
      <c r="G13" s="8">
        <f>(B13*D13)+(E13*F13)</f>
        <v/>
      </c>
      <c r="H13" s="8">
        <f>G13*(1+$B$8+$B$9)/(1-$B$7)</f>
        <v/>
      </c>
    </row>
    <row r="14">
      <c r="A14" s="7" t="inlineStr">
        <is>
          <t>Instalación de fontanería completa baño (multicapa + desagües)</t>
        </is>
      </c>
      <c r="B14" s="7" t="n">
        <v>1</v>
      </c>
      <c r="C14" s="7" t="inlineStr">
        <is>
          <t>ud</t>
        </is>
      </c>
      <c r="D14" s="8" t="n">
        <v>240</v>
      </c>
      <c r="E14" s="7" t="n">
        <v>14</v>
      </c>
      <c r="F14" s="8" t="n">
        <v>28</v>
      </c>
      <c r="G14" s="8">
        <f>(B14*D14)+(E14*F14)</f>
        <v/>
      </c>
      <c r="H14" s="8">
        <f>G14*(1+$B$8+$B$9)/(1-$B$7)</f>
        <v/>
      </c>
    </row>
    <row r="15">
      <c r="A15" s="7" t="inlineStr">
        <is>
          <t>Suministro y colocación de gres porcelánico rectificado</t>
        </is>
      </c>
      <c r="B15" s="7" t="n">
        <v>25</v>
      </c>
      <c r="C15" s="7" t="inlineStr">
        <is>
          <t>m²</t>
        </is>
      </c>
      <c r="D15" s="8" t="n">
        <v>22</v>
      </c>
      <c r="E15" s="7" t="n">
        <v>20</v>
      </c>
      <c r="F15" s="8" t="n">
        <v>26</v>
      </c>
      <c r="G15" s="8">
        <f>(B15*D15)+(E15*F15)</f>
        <v/>
      </c>
      <c r="H15" s="8">
        <f>G15*(1+$B$8+$B$9)/(1-$B$7)</f>
        <v/>
      </c>
    </row>
    <row r="16">
      <c r="A16" s="7" t="inlineStr">
        <is>
          <t>Plato de ducha resina 120x80 + mampara vidrio templado 8mm</t>
        </is>
      </c>
      <c r="B16" s="7" t="n">
        <v>1</v>
      </c>
      <c r="C16" s="7" t="inlineStr">
        <is>
          <t>ud</t>
        </is>
      </c>
      <c r="D16" s="8" t="n">
        <v>410</v>
      </c>
      <c r="E16" s="7" t="n">
        <v>6</v>
      </c>
      <c r="F16" s="8" t="n">
        <v>28</v>
      </c>
      <c r="G16" s="8">
        <f>(B16*D16)+(E16*F16)</f>
        <v/>
      </c>
      <c r="H16" s="8">
        <f>G16*(1+$B$8+$B$9)/(1-$B$7)</f>
        <v/>
      </c>
    </row>
    <row r="17">
      <c r="A17" s="7" t="inlineStr">
        <is>
          <t>Instalación eléctrica baño: 3 downlights LED + enchufe estanco</t>
        </is>
      </c>
      <c r="B17" s="7" t="n">
        <v>1</v>
      </c>
      <c r="C17" s="7" t="inlineStr">
        <is>
          <t>ud</t>
        </is>
      </c>
      <c r="D17" s="8" t="n">
        <v>85</v>
      </c>
      <c r="E17" s="7" t="n">
        <v>5</v>
      </c>
      <c r="F17" s="8" t="n">
        <v>28</v>
      </c>
      <c r="G17" s="8">
        <f>(B17*D17)+(E17*F17)</f>
        <v/>
      </c>
      <c r="H17" s="8">
        <f>G17*(1+$B$8+$B$9)/(1-$B$7)</f>
        <v/>
      </c>
    </row>
    <row r="18">
      <c r="A18" s="7" t="inlineStr">
        <is>
          <t>Montaje de mueble lavabo suspendido 80cm con espejo LED e inodoro</t>
        </is>
      </c>
      <c r="B18" s="7" t="n">
        <v>1</v>
      </c>
      <c r="C18" s="7" t="inlineStr">
        <is>
          <t>ud</t>
        </is>
      </c>
      <c r="D18" s="8" t="n">
        <v>380</v>
      </c>
      <c r="E18" s="7" t="n">
        <v>5</v>
      </c>
      <c r="F18" s="8" t="n">
        <v>26</v>
      </c>
      <c r="G18" s="8">
        <f>(B18*D18)+(E18*F18)</f>
        <v/>
      </c>
      <c r="H18" s="8">
        <f>G18*(1+$B$8+$B$9)/(1-$B$7)</f>
        <v/>
      </c>
    </row>
    <row r="19">
      <c r="A19" s="7" t="inlineStr">
        <is>
          <t>Pintura plástica lisa antimoho en techo</t>
        </is>
      </c>
      <c r="B19" s="7" t="n">
        <v>6</v>
      </c>
      <c r="C19" s="7" t="inlineStr">
        <is>
          <t>m²</t>
        </is>
      </c>
      <c r="D19" s="8" t="n">
        <v>3</v>
      </c>
      <c r="E19" s="7" t="n">
        <v>3</v>
      </c>
      <c r="F19" s="8" t="n">
        <v>24</v>
      </c>
      <c r="G19" s="8">
        <f>(B19*D19)+(E19*F19)</f>
        <v/>
      </c>
      <c r="H19" s="8">
        <f>G19*(1+$B$8+$B$9)/(1-$B$7)</f>
        <v/>
      </c>
    </row>
    <row r="20"/>
    <row r="21">
      <c r="A21" s="9" t="inlineStr">
        <is>
          <t>TOTALES OBRA / REFORMA</t>
        </is>
      </c>
      <c r="G21" s="10">
        <f>SUM(G13:G19)</f>
        <v/>
      </c>
      <c r="H21" s="10">
        <f>SUM(H13:H19)</f>
        <v/>
      </c>
    </row>
    <row r="22"/>
    <row r="23">
      <c r="F23" s="11" t="inlineStr">
        <is>
          <t>COSTE DIRECTO MATERIALES + M.O.:</t>
        </is>
      </c>
      <c r="H23" s="12">
        <f>G21</f>
        <v/>
      </c>
    </row>
    <row r="24">
      <c r="F24" s="13" t="inlineStr">
        <is>
          <t>BENEFICIO LIMPIO ESTIMADO (MARGEN NETO):</t>
        </is>
      </c>
      <c r="H24" s="14">
        <f>H21-G21-(H21*$B$9)</f>
        <v/>
      </c>
    </row>
    <row r="25">
      <c r="F25" s="11" t="inlineStr">
        <is>
          <t>BASE IMPONIBLE PRESUPUESTO CLIENTE:</t>
        </is>
      </c>
      <c r="H25" s="12">
        <f>H21</f>
        <v/>
      </c>
    </row>
    <row r="26">
      <c r="F26" s="11" t="inlineStr">
        <is>
          <t>IVA (10%):</t>
        </is>
      </c>
      <c r="H26" s="12">
        <f>H25*$B$10</f>
        <v/>
      </c>
    </row>
    <row r="27">
      <c r="F27" s="15" t="inlineStr">
        <is>
          <t>TOTAL CON IVA A COBRAR:</t>
        </is>
      </c>
      <c r="H27" s="16">
        <f>H25+H26</f>
        <v/>
      </c>
    </row>
  </sheetData>
  <mergeCells count="7">
    <mergeCell ref="A1:G1"/>
    <mergeCell ref="F24:G24"/>
    <mergeCell ref="A6:G6"/>
    <mergeCell ref="F25:G25"/>
    <mergeCell ref="F23:G23"/>
    <mergeCell ref="F26:G26"/>
    <mergeCell ref="F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50" customWidth="1" min="2" max="2"/>
    <col width="31" customWidth="1" min="3" max="3"/>
    <col width="31" customWidth="1" min="4" max="4"/>
    <col width="31" customWidth="1" min="5" max="5"/>
    <col width="31" customWidth="1" min="6" max="6"/>
  </cols>
  <sheetData>
    <row r="1">
      <c r="A1" s="17" t="inlineStr">
        <is>
          <t>PRESUPUESTO DE REFORMA</t>
        </is>
      </c>
      <c r="F1" s="18" t="inlineStr">
        <is>
          <t>Nº PRESUPUESTO: REF-2026-084</t>
        </is>
      </c>
    </row>
    <row r="2"/>
    <row r="3">
      <c r="A3" s="19" t="inlineStr">
        <is>
          <t>DATOS DE LA EMPRESA / PROFESIONAL</t>
        </is>
      </c>
      <c r="E3" s="19" t="inlineStr">
        <is>
          <t>DATOS DEL CLIENTE</t>
        </is>
      </c>
    </row>
    <row r="4">
      <c r="A4" t="inlineStr">
        <is>
          <t>Reformas &amp; Construcciones Profesionales S.L.</t>
        </is>
      </c>
      <c r="E4">
        <f>'1. Calculador de Obra'!B3</f>
        <v/>
      </c>
    </row>
    <row r="5">
      <c r="A5" t="inlineStr">
        <is>
          <t>NIF/CIF: B-12345678</t>
        </is>
      </c>
      <c r="E5">
        <f>'1. Calculador de Obra'!B4</f>
        <v/>
      </c>
    </row>
    <row r="6">
      <c r="A6" t="inlineStr">
        <is>
          <t>Tel: 600 000 000 | Email: info@tuempresa.es</t>
        </is>
      </c>
      <c r="E6" t="inlineStr">
        <is>
          <t>Fecha emisión: =TODAY()</t>
        </is>
      </c>
    </row>
    <row r="7"/>
    <row r="8" ht="24" customHeight="1">
      <c r="A8" s="20" t="inlineStr">
        <is>
          <t>Nº</t>
        </is>
      </c>
      <c r="B8" s="20" t="inlineStr">
        <is>
          <t>DESCRIPCIÓN DE LA PARTIDA</t>
        </is>
      </c>
      <c r="C8" s="20" t="inlineStr">
        <is>
          <t>CANTIDAD</t>
        </is>
      </c>
      <c r="D8" s="20" t="inlineStr">
        <is>
          <t>UNIDAD</t>
        </is>
      </c>
      <c r="E8" s="20" t="inlineStr">
        <is>
          <t>PRECIO PVP</t>
        </is>
      </c>
    </row>
    <row r="9">
      <c r="A9" s="21" t="n">
        <v>1</v>
      </c>
      <c r="B9" s="7">
        <f>'1. Calculador de Obra'!A13</f>
        <v/>
      </c>
      <c r="C9" s="21">
        <f>'1. Calculador de Obra'!B13</f>
        <v/>
      </c>
      <c r="D9" s="21">
        <f>'1. Calculador de Obra'!C13</f>
        <v/>
      </c>
      <c r="E9" s="8">
        <f>'1. Calculador de Obra'!H13</f>
        <v/>
      </c>
    </row>
    <row r="10">
      <c r="A10" s="21" t="n">
        <v>2</v>
      </c>
      <c r="B10" s="7">
        <f>'1. Calculador de Obra'!A14</f>
        <v/>
      </c>
      <c r="C10" s="21">
        <f>'1. Calculador de Obra'!B14</f>
        <v/>
      </c>
      <c r="D10" s="21">
        <f>'1. Calculador de Obra'!C14</f>
        <v/>
      </c>
      <c r="E10" s="8">
        <f>'1. Calculador de Obra'!H14</f>
        <v/>
      </c>
    </row>
    <row r="11">
      <c r="A11" s="21" t="n">
        <v>3</v>
      </c>
      <c r="B11" s="7">
        <f>'1. Calculador de Obra'!A15</f>
        <v/>
      </c>
      <c r="C11" s="21">
        <f>'1. Calculador de Obra'!B15</f>
        <v/>
      </c>
      <c r="D11" s="21">
        <f>'1. Calculador de Obra'!C15</f>
        <v/>
      </c>
      <c r="E11" s="8">
        <f>'1. Calculador de Obra'!H15</f>
        <v/>
      </c>
    </row>
    <row r="12">
      <c r="A12" s="21" t="n">
        <v>4</v>
      </c>
      <c r="B12" s="7">
        <f>'1. Calculador de Obra'!A16</f>
        <v/>
      </c>
      <c r="C12" s="21">
        <f>'1. Calculador de Obra'!B16</f>
        <v/>
      </c>
      <c r="D12" s="21">
        <f>'1. Calculador de Obra'!C16</f>
        <v/>
      </c>
      <c r="E12" s="8">
        <f>'1. Calculador de Obra'!H16</f>
        <v/>
      </c>
    </row>
    <row r="13">
      <c r="A13" s="21" t="n">
        <v>5</v>
      </c>
      <c r="B13" s="7">
        <f>'1. Calculador de Obra'!A17</f>
        <v/>
      </c>
      <c r="C13" s="21">
        <f>'1. Calculador de Obra'!B17</f>
        <v/>
      </c>
      <c r="D13" s="21">
        <f>'1. Calculador de Obra'!C17</f>
        <v/>
      </c>
      <c r="E13" s="8">
        <f>'1. Calculador de Obra'!H17</f>
        <v/>
      </c>
    </row>
    <row r="14">
      <c r="A14" s="21" t="n">
        <v>6</v>
      </c>
      <c r="B14" s="7">
        <f>'1. Calculador de Obra'!A18</f>
        <v/>
      </c>
      <c r="C14" s="21">
        <f>'1. Calculador de Obra'!B18</f>
        <v/>
      </c>
      <c r="D14" s="21">
        <f>'1. Calculador de Obra'!C18</f>
        <v/>
      </c>
      <c r="E14" s="8">
        <f>'1. Calculador de Obra'!H18</f>
        <v/>
      </c>
    </row>
    <row r="15">
      <c r="A15" s="21" t="n">
        <v>7</v>
      </c>
      <c r="B15" s="7">
        <f>'1. Calculador de Obra'!A19</f>
        <v/>
      </c>
      <c r="C15" s="21">
        <f>'1. Calculador de Obra'!B19</f>
        <v/>
      </c>
      <c r="D15" s="21">
        <f>'1. Calculador de Obra'!C19</f>
        <v/>
      </c>
      <c r="E15" s="8">
        <f>'1. Calculador de Obra'!H19</f>
        <v/>
      </c>
    </row>
    <row r="16"/>
    <row r="17">
      <c r="D17" s="11" t="inlineStr">
        <is>
          <t>BASE IMPONIBLE:</t>
        </is>
      </c>
      <c r="E17" s="12">
        <f>SUM(E9:E15)</f>
        <v/>
      </c>
    </row>
    <row r="18">
      <c r="D18" s="11" t="inlineStr">
        <is>
          <t>IVA (10%):</t>
        </is>
      </c>
      <c r="E18" s="12">
        <f>E17*0.10</f>
        <v/>
      </c>
    </row>
    <row r="19">
      <c r="D19" s="22" t="inlineStr">
        <is>
          <t>TOTAL PRESUPUESTO:</t>
        </is>
      </c>
      <c r="E19" s="23">
        <f>E17+E18</f>
        <v/>
      </c>
    </row>
    <row r="20"/>
    <row r="21">
      <c r="A21" s="2" t="inlineStr">
        <is>
          <t>CONDICIONES Y FORMA DE PAGO:</t>
        </is>
      </c>
    </row>
    <row r="22">
      <c r="A22" t="inlineStr">
        <is>
          <t>1. 40% a la firma del contrato y acopio de materiales.</t>
        </is>
      </c>
    </row>
    <row r="23">
      <c r="A23" t="inlineStr">
        <is>
          <t>2. 40% al 50% de avance de los trabajos de albañilería e instalaciones.</t>
        </is>
      </c>
    </row>
    <row r="24">
      <c r="A24" t="inlineStr">
        <is>
          <t>3. 20% a la finalización y entrega de llaves.</t>
        </is>
      </c>
    </row>
    <row r="25">
      <c r="A25" t="inlineStr">
        <is>
          <t>4. Validez de la oferta: 30 días a partir de la fecha de emisión.</t>
        </is>
      </c>
    </row>
    <row r="26"/>
    <row r="27">
      <c r="B27" t="inlineStr">
        <is>
          <t>Firma Empresa:</t>
        </is>
      </c>
      <c r="D27" t="inlineStr">
        <is>
          <t>Conforme Cliente: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59" customWidth="1" min="2" max="2"/>
    <col width="12" customWidth="1" min="3" max="3"/>
    <col width="22" customWidth="1" min="4" max="4"/>
    <col width="18" customWidth="1" min="5" max="5"/>
  </cols>
  <sheetData>
    <row r="1">
      <c r="A1" s="24" t="inlineStr">
        <is>
          <t>Categoría</t>
        </is>
      </c>
      <c r="B1" s="24" t="inlineStr">
        <is>
          <t>Descripción Partida</t>
        </is>
      </c>
      <c r="C1" s="24" t="inlineStr">
        <is>
          <t>Unidad</t>
        </is>
      </c>
      <c r="D1" s="24" t="inlineStr">
        <is>
          <t>Coste Material Ref.</t>
        </is>
      </c>
      <c r="E1" s="24" t="inlineStr">
        <is>
          <t>Horas Estimadas</t>
        </is>
      </c>
    </row>
    <row r="2">
      <c r="A2" s="7" t="inlineStr">
        <is>
          <t>Demolición</t>
        </is>
      </c>
      <c r="B2" s="7" t="inlineStr">
        <is>
          <t>Picado de solera o recrecido de hormigón hasta 10cm</t>
        </is>
      </c>
      <c r="C2" s="7" t="inlineStr">
        <is>
          <t>m²</t>
        </is>
      </c>
      <c r="D2" s="8" t="n">
        <v>2</v>
      </c>
      <c r="E2" s="7" t="n">
        <v>1.2</v>
      </c>
    </row>
    <row r="3">
      <c r="A3" s="7" t="inlineStr">
        <is>
          <t>Demolición</t>
        </is>
      </c>
      <c r="B3" s="7" t="inlineStr">
        <is>
          <t>Derribo de tabique de ladrillo hueco sencillo/doble</t>
        </is>
      </c>
      <c r="C3" s="7" t="inlineStr">
        <is>
          <t>m²</t>
        </is>
      </c>
      <c r="D3" s="8" t="n">
        <v>1.5</v>
      </c>
      <c r="E3" s="7" t="n">
        <v>0.8</v>
      </c>
    </row>
    <row r="4">
      <c r="A4" s="7" t="inlineStr">
        <is>
          <t>Albañilería</t>
        </is>
      </c>
      <c r="B4" s="7" t="inlineStr">
        <is>
          <t>Levantado de tabique ladrillo cerámico 7cm</t>
        </is>
      </c>
      <c r="C4" s="7" t="inlineStr">
        <is>
          <t>m²</t>
        </is>
      </c>
      <c r="D4" s="8" t="n">
        <v>9.5</v>
      </c>
      <c r="E4" s="7" t="n">
        <v>1.5</v>
      </c>
    </row>
    <row r="5">
      <c r="A5" s="7" t="inlineStr">
        <is>
          <t>Albañilería</t>
        </is>
      </c>
      <c r="B5" s="7" t="inlineStr">
        <is>
          <t>Enlucido y maestreado con yeso o mortero</t>
        </is>
      </c>
      <c r="C5" s="7" t="inlineStr">
        <is>
          <t>m²</t>
        </is>
      </c>
      <c r="D5" s="8" t="n">
        <v>4</v>
      </c>
      <c r="E5" s="7" t="n">
        <v>1.1</v>
      </c>
    </row>
    <row r="6">
      <c r="A6" s="7" t="inlineStr">
        <is>
          <t>Albañilería</t>
        </is>
      </c>
      <c r="B6" s="7" t="inlineStr">
        <is>
          <t>Recrecido y nivelación de suelo con mortero</t>
        </is>
      </c>
      <c r="C6" s="7" t="inlineStr">
        <is>
          <t>m²</t>
        </is>
      </c>
      <c r="D6" s="8" t="n">
        <v>5.5</v>
      </c>
      <c r="E6" s="7" t="n">
        <v>0.7</v>
      </c>
    </row>
    <row r="7">
      <c r="A7" s="7" t="inlineStr">
        <is>
          <t>Pladur / Cartón-Yeso</t>
        </is>
      </c>
      <c r="B7" s="7" t="inlineStr">
        <is>
          <t>Tabique pladur doble placa con aislamiento acústico</t>
        </is>
      </c>
      <c r="C7" s="7" t="inlineStr">
        <is>
          <t>m²</t>
        </is>
      </c>
      <c r="D7" s="8" t="n">
        <v>18</v>
      </c>
      <c r="E7" s="7" t="n">
        <v>1.3</v>
      </c>
    </row>
    <row r="8">
      <c r="A8" s="7" t="inlineStr">
        <is>
          <t>Pladur / Cartón-Yeso</t>
        </is>
      </c>
      <c r="B8" s="7" t="inlineStr">
        <is>
          <t>Falso techo continuo pladur con perfilería</t>
        </is>
      </c>
      <c r="C8" s="7" t="inlineStr">
        <is>
          <t>m²</t>
        </is>
      </c>
      <c r="D8" s="8" t="n">
        <v>14</v>
      </c>
      <c r="E8" s="7" t="n">
        <v>1</v>
      </c>
    </row>
    <row r="9">
      <c r="A9" s="7" t="inlineStr">
        <is>
          <t>Alicatados</t>
        </is>
      </c>
      <c r="B9" s="7" t="inlineStr">
        <is>
          <t>Alicatado de paredes con mortero cola flexible C2TE</t>
        </is>
      </c>
      <c r="C9" s="7" t="inlineStr">
        <is>
          <t>m²</t>
        </is>
      </c>
      <c r="D9" s="8" t="n">
        <v>8</v>
      </c>
      <c r="E9" s="7" t="n">
        <v>1.2</v>
      </c>
    </row>
    <row r="10">
      <c r="A10" s="7" t="inlineStr">
        <is>
          <t>Solados</t>
        </is>
      </c>
      <c r="B10" s="7" t="inlineStr">
        <is>
          <t>Colocación de suelo porcelánico gran formato</t>
        </is>
      </c>
      <c r="C10" s="7" t="inlineStr">
        <is>
          <t>m²</t>
        </is>
      </c>
      <c r="D10" s="8" t="n">
        <v>11</v>
      </c>
      <c r="E10" s="7" t="n">
        <v>1.4</v>
      </c>
    </row>
    <row r="11">
      <c r="A11" s="7" t="inlineStr">
        <is>
          <t>Fontanería</t>
        </is>
      </c>
      <c r="B11" s="7" t="inlineStr">
        <is>
          <t>Punto de agua fría y caliente en multicapa/PEX</t>
        </is>
      </c>
      <c r="C11" s="7" t="inlineStr">
        <is>
          <t>ud</t>
        </is>
      </c>
      <c r="D11" s="8" t="n">
        <v>25</v>
      </c>
      <c r="E11" s="7" t="n">
        <v>1.8</v>
      </c>
    </row>
    <row r="12">
      <c r="A12" s="7" t="inlineStr">
        <is>
          <t>Fontanería</t>
        </is>
      </c>
      <c r="B12" s="7" t="inlineStr">
        <is>
          <t>Punto de desagüe PVC insonorizado</t>
        </is>
      </c>
      <c r="C12" s="7" t="inlineStr">
        <is>
          <t>ud</t>
        </is>
      </c>
      <c r="D12" s="8" t="n">
        <v>18</v>
      </c>
      <c r="E12" s="7" t="n">
        <v>1.2</v>
      </c>
    </row>
    <row r="13">
      <c r="A13" s="7" t="inlineStr">
        <is>
          <t>Electricidad</t>
        </is>
      </c>
      <c r="B13" s="7" t="inlineStr">
        <is>
          <t>Punto de luz / interruptor con tubo corrugado y cableado</t>
        </is>
      </c>
      <c r="C13" s="7" t="inlineStr">
        <is>
          <t>ud</t>
        </is>
      </c>
      <c r="D13" s="8" t="n">
        <v>12</v>
      </c>
      <c r="E13" s="7" t="n">
        <v>1</v>
      </c>
    </row>
    <row r="14">
      <c r="A14" s="7" t="inlineStr">
        <is>
          <t>Electricidad</t>
        </is>
      </c>
      <c r="B14" s="7" t="inlineStr">
        <is>
          <t>Toma de corriente con toma de tierra (enchufe)</t>
        </is>
      </c>
      <c r="C14" s="7" t="inlineStr">
        <is>
          <t>ud</t>
        </is>
      </c>
      <c r="D14" s="8" t="n">
        <v>14</v>
      </c>
      <c r="E14" s="7" t="n">
        <v>0.9</v>
      </c>
    </row>
    <row r="15">
      <c r="A15" s="7" t="inlineStr">
        <is>
          <t>Electricidad</t>
        </is>
      </c>
      <c r="B15" s="7" t="inlineStr">
        <is>
          <t>Instalación cuadro eléctrico con diferenciales e IGA</t>
        </is>
      </c>
      <c r="C15" s="7" t="inlineStr">
        <is>
          <t>ud</t>
        </is>
      </c>
      <c r="D15" s="8" t="n">
        <v>160</v>
      </c>
      <c r="E15" s="7" t="n">
        <v>6</v>
      </c>
    </row>
    <row r="16">
      <c r="A16" s="7" t="inlineStr">
        <is>
          <t>Pintura</t>
        </is>
      </c>
      <c r="B16" s="7" t="inlineStr">
        <is>
          <t>Pintura plástica dos manos mate lavable</t>
        </is>
      </c>
      <c r="C16" s="7" t="inlineStr">
        <is>
          <t>m²</t>
        </is>
      </c>
      <c r="D16" s="8" t="n">
        <v>2.5</v>
      </c>
      <c r="E16" s="7" t="n">
        <v>0.4</v>
      </c>
    </row>
    <row r="17">
      <c r="A17" s="7" t="inlineStr">
        <is>
          <t>Pintura</t>
        </is>
      </c>
      <c r="B17" s="7" t="inlineStr">
        <is>
          <t>Alisado de paredes con eliminación de gotelé (2 manos tendido)</t>
        </is>
      </c>
      <c r="C17" s="7" t="inlineStr">
        <is>
          <t>m²</t>
        </is>
      </c>
      <c r="D17" s="8" t="n">
        <v>7</v>
      </c>
      <c r="E17" s="7" t="n">
        <v>1.5</v>
      </c>
    </row>
    <row r="18">
      <c r="A18" s="7" t="inlineStr">
        <is>
          <t>Carpintería</t>
        </is>
      </c>
      <c r="B18" s="7" t="inlineStr">
        <is>
          <t>Colocación de puerta de paso block con jambas y maneta</t>
        </is>
      </c>
      <c r="C18" s="7" t="inlineStr">
        <is>
          <t>ud</t>
        </is>
      </c>
      <c r="D18" s="8" t="n">
        <v>35</v>
      </c>
      <c r="E18" s="7" t="n">
        <v>2.5</v>
      </c>
    </row>
    <row r="19">
      <c r="A19" s="7" t="inlineStr">
        <is>
          <t>Carpintería</t>
        </is>
      </c>
      <c r="B19" s="7" t="inlineStr">
        <is>
          <t>Montaje de rodapié lacado blanco o madera</t>
        </is>
      </c>
      <c r="C19" s="7" t="inlineStr">
        <is>
          <t>ml</t>
        </is>
      </c>
      <c r="D19" s="8" t="n">
        <v>3</v>
      </c>
      <c r="E19" s="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2026-10-06T12:53:32Z</dcterms:created>
  <dcterms:modified xsi:type="dcterms:W3CDTF">2026-10-06T12:53:32Z</dcterms:modified>
</cp:coreProperties>
</file>